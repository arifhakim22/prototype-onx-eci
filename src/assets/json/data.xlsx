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.fariz\Downloads\"/>
    </mc:Choice>
  </mc:AlternateContent>
  <xr:revisionPtr revIDLastSave="0" documentId="8_{7A67938F-50C8-4750-8899-25EAFC61E6CD}" xr6:coauthVersionLast="47" xr6:coauthVersionMax="47" xr10:uidLastSave="{00000000-0000-0000-0000-000000000000}"/>
  <bookViews>
    <workbookView xWindow="-110" yWindow="-110" windowWidth="19420" windowHeight="10300" xr2:uid="{F877C109-4135-44EA-8578-DC9D1799F2A5}"/>
  </bookViews>
  <sheets>
    <sheet name="Data_Transaction" sheetId="1" r:id="rId1"/>
    <sheet name="Data_Payment" sheetId="2" r:id="rId2"/>
    <sheet name="Data_Po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3" l="1"/>
  <c r="L4" i="3"/>
  <c r="L2" i="3"/>
</calcChain>
</file>

<file path=xl/sharedStrings.xml><?xml version="1.0" encoding="utf-8"?>
<sst xmlns="http://schemas.openxmlformats.org/spreadsheetml/2006/main" count="194" uniqueCount="120">
  <si>
    <t>POSInvoice</t>
  </si>
  <si>
    <t>CalendarDate</t>
  </si>
  <si>
    <t>CustomerCode</t>
  </si>
  <si>
    <t>CustomerName</t>
  </si>
  <si>
    <t>Email</t>
  </si>
  <si>
    <t>SexName</t>
  </si>
  <si>
    <t>DateOfBirth</t>
  </si>
  <si>
    <t>CityName</t>
  </si>
  <si>
    <t>StateName</t>
  </si>
  <si>
    <t>JoinDate</t>
  </si>
  <si>
    <t>BrandName</t>
  </si>
  <si>
    <t>DepartmentName</t>
  </si>
  <si>
    <t>GroupName</t>
  </si>
  <si>
    <t>CategoryName</t>
  </si>
  <si>
    <t>SubcategoryName</t>
  </si>
  <si>
    <t>StoreCode</t>
  </si>
  <si>
    <t>StoreName</t>
  </si>
  <si>
    <t>QtySales</t>
  </si>
  <si>
    <t>Amount</t>
  </si>
  <si>
    <t>ChannelTrx</t>
  </si>
  <si>
    <t>CustomerStatus</t>
  </si>
  <si>
    <t>MALE</t>
  </si>
  <si>
    <t>DKI JAKARTA</t>
  </si>
  <si>
    <t>PHILIPS</t>
  </si>
  <si>
    <t>HOME APPLIANCES</t>
  </si>
  <si>
    <t>SMALL APPLIANCES</t>
  </si>
  <si>
    <t>RICE COOKER</t>
  </si>
  <si>
    <t>RICE COOKER 1.1 -2 L</t>
  </si>
  <si>
    <t>0870</t>
  </si>
  <si>
    <t>PURI INDAH MALL</t>
  </si>
  <si>
    <t>Offline</t>
  </si>
  <si>
    <t>Member</t>
  </si>
  <si>
    <t>IRON</t>
  </si>
  <si>
    <t>DRY IRON</t>
  </si>
  <si>
    <t>HISENSE</t>
  </si>
  <si>
    <t>TELEVISION &amp; AUDIO VIDEO</t>
  </si>
  <si>
    <t>TELEVISION</t>
  </si>
  <si>
    <t>UHD</t>
  </si>
  <si>
    <t>UHD SMART TV</t>
  </si>
  <si>
    <t>0030</t>
  </si>
  <si>
    <t>LIPPO MALL PURI</t>
  </si>
  <si>
    <t>JAWA BARAT</t>
  </si>
  <si>
    <t>ECI</t>
  </si>
  <si>
    <t>SOUVENIR EC</t>
  </si>
  <si>
    <t>TAS</t>
  </si>
  <si>
    <t>SPUNBOND</t>
  </si>
  <si>
    <t>0710</t>
  </si>
  <si>
    <t>BAG BOGOR</t>
  </si>
  <si>
    <t>Non Member</t>
  </si>
  <si>
    <t>0870-C01-99IV01111</t>
  </si>
  <si>
    <t>0030-C01-99IV01113</t>
  </si>
  <si>
    <t>0710-C02-99IV01111</t>
  </si>
  <si>
    <t>D000001111</t>
  </si>
  <si>
    <t>628111181088</t>
  </si>
  <si>
    <t>D000001112</t>
  </si>
  <si>
    <t>MITIK</t>
  </si>
  <si>
    <t>628100000000</t>
  </si>
  <si>
    <t>D000001113</t>
  </si>
  <si>
    <t>628566001858</t>
  </si>
  <si>
    <t>MSFARIZ</t>
  </si>
  <si>
    <t>msfariz@outlook.com</t>
  </si>
  <si>
    <t>mitik@noemail.com</t>
  </si>
  <si>
    <t>fariz@noemail.com</t>
  </si>
  <si>
    <t>KOTA BEKASI</t>
  </si>
  <si>
    <t>SUKABUMI</t>
  </si>
  <si>
    <t>ALFARIZA</t>
  </si>
  <si>
    <t>Online</t>
  </si>
  <si>
    <t>PaymentDate</t>
  </si>
  <si>
    <t>Address</t>
  </si>
  <si>
    <t>Jl. Raya Keadilan No. 31</t>
  </si>
  <si>
    <t>Jl. Tinombala No.16</t>
  </si>
  <si>
    <t>Jl. Raya Kadudampit</t>
  </si>
  <si>
    <t>BCA</t>
  </si>
  <si>
    <t>32</t>
  </si>
  <si>
    <t>02</t>
  </si>
  <si>
    <t>CREDIT CARD</t>
  </si>
  <si>
    <t>INDENTCONFIRM</t>
  </si>
  <si>
    <t>CardName</t>
  </si>
  <si>
    <t>CardHolder</t>
  </si>
  <si>
    <t>CardType</t>
  </si>
  <si>
    <t>EDCCode</t>
  </si>
  <si>
    <t>EDCName</t>
  </si>
  <si>
    <t>TenderType</t>
  </si>
  <si>
    <t>TenderName</t>
  </si>
  <si>
    <t>TRNTYPE</t>
  </si>
  <si>
    <t>IO</t>
  </si>
  <si>
    <t>ApprovalCode</t>
  </si>
  <si>
    <t>CardNo</t>
  </si>
  <si>
    <t>PaymentAmount</t>
  </si>
  <si>
    <t>VISA</t>
  </si>
  <si>
    <t>E2</t>
  </si>
  <si>
    <t>VOUCHER E-C1TYZEN</t>
  </si>
  <si>
    <t>HAPPYDAY2125</t>
  </si>
  <si>
    <t>MANDIRI</t>
  </si>
  <si>
    <t>80</t>
  </si>
  <si>
    <t>MANDIRI 0% 3 BULAN</t>
  </si>
  <si>
    <t>F7</t>
  </si>
  <si>
    <t>MANDIRI POWER BUY 0% 03 BLN</t>
  </si>
  <si>
    <t>SKYZ CARD</t>
  </si>
  <si>
    <t>REGULER</t>
  </si>
  <si>
    <t>111121/210425</t>
  </si>
  <si>
    <t>111122/300325</t>
  </si>
  <si>
    <t>KREDIVO</t>
  </si>
  <si>
    <t>OVO</t>
  </si>
  <si>
    <t>50</t>
  </si>
  <si>
    <t>K1</t>
  </si>
  <si>
    <t>1773234845</t>
  </si>
  <si>
    <t>Assignment</t>
  </si>
  <si>
    <t>Billing Type</t>
  </si>
  <si>
    <t>Billing Document</t>
  </si>
  <si>
    <t>Billing Date</t>
  </si>
  <si>
    <t>Sales Office</t>
  </si>
  <si>
    <t>Subtotal 4</t>
  </si>
  <si>
    <t>Point (+ -)</t>
  </si>
  <si>
    <t>Point Type (11, 12)</t>
  </si>
  <si>
    <t>expired date</t>
  </si>
  <si>
    <t>flag jika point sudah dihitung expired</t>
  </si>
  <si>
    <t>ZIRT</t>
  </si>
  <si>
    <t>HPNumber</t>
  </si>
  <si>
    <t>AgentCode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</si>
</sst>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1" fontId="0" fillId="0" borderId="0" xfId="1" applyFont="1"/>
    <xf numFmtId="0" fontId="0" fillId="0" borderId="0" xfId="0" quotePrefix="1"/>
    <xf numFmtId="0" fontId="3" fillId="0" borderId="0" xfId="2"/>
    <xf numFmtId="1" fontId="0" fillId="0" borderId="0" xfId="0" applyNumberFormat="1"/>
    <xf numFmtId="0" fontId="0" fillId="2" borderId="0" xfId="0" applyFill="1"/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tik@noemail.com" TargetMode="External"/><Relationship Id="rId2" Type="http://schemas.openxmlformats.org/officeDocument/2006/relationships/hyperlink" Target="mailto:msfariz@outlook.com" TargetMode="External"/><Relationship Id="rId1" Type="http://schemas.openxmlformats.org/officeDocument/2006/relationships/hyperlink" Target="mailto:msfariz@outlook.com" TargetMode="External"/><Relationship Id="rId4" Type="http://schemas.openxmlformats.org/officeDocument/2006/relationships/hyperlink" Target="mailto:fariz@noe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itik@noemail.com" TargetMode="External"/><Relationship Id="rId2" Type="http://schemas.openxmlformats.org/officeDocument/2006/relationships/hyperlink" Target="mailto:msfariz@outlook.com" TargetMode="External"/><Relationship Id="rId1" Type="http://schemas.openxmlformats.org/officeDocument/2006/relationships/hyperlink" Target="mailto:msfariz@outlook.com" TargetMode="External"/><Relationship Id="rId4" Type="http://schemas.openxmlformats.org/officeDocument/2006/relationships/hyperlink" Target="mailto:fariz@noe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fariz@noemail.com" TargetMode="External"/><Relationship Id="rId2" Type="http://schemas.openxmlformats.org/officeDocument/2006/relationships/hyperlink" Target="mailto:mitik@noemail.com" TargetMode="External"/><Relationship Id="rId1" Type="http://schemas.openxmlformats.org/officeDocument/2006/relationships/hyperlink" Target="mailto:msfariz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AA45-27B9-4AC5-8421-7937311DEB35}">
  <dimension ref="A1:X5"/>
  <sheetViews>
    <sheetView tabSelected="1" workbookViewId="0">
      <selection activeCell="C17" sqref="C17"/>
    </sheetView>
  </sheetViews>
  <sheetFormatPr defaultRowHeight="14.5" x14ac:dyDescent="0.35"/>
  <cols>
    <col min="1" max="1" width="18.08984375" bestFit="1" customWidth="1"/>
    <col min="2" max="2" width="12.08984375" bestFit="1" customWidth="1"/>
    <col min="3" max="3" width="13.1796875" bestFit="1" customWidth="1"/>
    <col min="4" max="4" width="16.1796875" bestFit="1" customWidth="1"/>
    <col min="5" max="5" width="12.90625" bestFit="1" customWidth="1"/>
    <col min="6" max="6" width="23.54296875" bestFit="1" customWidth="1"/>
    <col min="8" max="8" width="13.7265625" bestFit="1" customWidth="1"/>
    <col min="9" max="9" width="23.08984375" bestFit="1" customWidth="1"/>
    <col min="10" max="10" width="18.26953125" bestFit="1" customWidth="1"/>
    <col min="11" max="11" width="10.90625" bestFit="1" customWidth="1"/>
    <col min="12" max="12" width="10.08984375" bestFit="1" customWidth="1"/>
    <col min="13" max="13" width="10.36328125" bestFit="1" customWidth="1"/>
    <col min="14" max="14" width="23.453125" bestFit="1" customWidth="1"/>
    <col min="15" max="15" width="17" bestFit="1" customWidth="1"/>
    <col min="16" max="16" width="13" bestFit="1" customWidth="1"/>
    <col min="17" max="17" width="18.453125" bestFit="1" customWidth="1"/>
    <col min="18" max="18" width="9.36328125" bestFit="1" customWidth="1"/>
    <col min="19" max="19" width="15.26953125" bestFit="1" customWidth="1"/>
    <col min="20" max="20" width="8" bestFit="1" customWidth="1"/>
    <col min="21" max="21" width="11.1796875" bestFit="1" customWidth="1"/>
    <col min="22" max="22" width="9.90625" bestFit="1" customWidth="1"/>
    <col min="23" max="23" width="14.08984375" bestFit="1" customWidth="1"/>
    <col min="24" max="24" width="9.72656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118</v>
      </c>
      <c r="F1" t="s">
        <v>4</v>
      </c>
      <c r="G1" t="s">
        <v>5</v>
      </c>
      <c r="H1" t="s">
        <v>6</v>
      </c>
      <c r="I1" t="s">
        <v>68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s="6" t="s">
        <v>119</v>
      </c>
    </row>
    <row r="2" spans="1:24" x14ac:dyDescent="0.35">
      <c r="A2" t="s">
        <v>49</v>
      </c>
      <c r="B2" s="1">
        <v>45768</v>
      </c>
      <c r="C2" t="s">
        <v>52</v>
      </c>
      <c r="D2" t="s">
        <v>59</v>
      </c>
      <c r="E2" s="3" t="s">
        <v>53</v>
      </c>
      <c r="F2" s="4" t="s">
        <v>60</v>
      </c>
      <c r="G2" t="s">
        <v>21</v>
      </c>
      <c r="H2" s="1">
        <v>33843</v>
      </c>
      <c r="I2" s="1" t="s">
        <v>70</v>
      </c>
      <c r="J2" t="s">
        <v>63</v>
      </c>
      <c r="K2" t="s">
        <v>41</v>
      </c>
      <c r="L2" s="1">
        <v>44732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1</v>
      </c>
      <c r="U2" s="2">
        <v>629000</v>
      </c>
      <c r="V2" t="s">
        <v>66</v>
      </c>
      <c r="W2" t="s">
        <v>31</v>
      </c>
    </row>
    <row r="3" spans="1:24" x14ac:dyDescent="0.35">
      <c r="A3" t="s">
        <v>49</v>
      </c>
      <c r="B3" s="1">
        <v>45768</v>
      </c>
      <c r="C3" t="s">
        <v>52</v>
      </c>
      <c r="D3" t="s">
        <v>59</v>
      </c>
      <c r="E3" s="3" t="s">
        <v>53</v>
      </c>
      <c r="F3" s="4" t="s">
        <v>60</v>
      </c>
      <c r="G3" t="s">
        <v>21</v>
      </c>
      <c r="H3" s="1">
        <v>33843</v>
      </c>
      <c r="I3" s="1" t="s">
        <v>70</v>
      </c>
      <c r="J3" t="s">
        <v>63</v>
      </c>
      <c r="K3" t="s">
        <v>41</v>
      </c>
      <c r="L3" s="1">
        <v>44732</v>
      </c>
      <c r="M3" t="s">
        <v>23</v>
      </c>
      <c r="N3" t="s">
        <v>24</v>
      </c>
      <c r="O3" t="s">
        <v>25</v>
      </c>
      <c r="P3" t="s">
        <v>32</v>
      </c>
      <c r="Q3" t="s">
        <v>33</v>
      </c>
      <c r="R3" t="s">
        <v>28</v>
      </c>
      <c r="S3" t="s">
        <v>29</v>
      </c>
      <c r="T3">
        <v>1</v>
      </c>
      <c r="U3" s="2">
        <v>329000</v>
      </c>
      <c r="V3" t="s">
        <v>66</v>
      </c>
      <c r="W3" t="s">
        <v>31</v>
      </c>
    </row>
    <row r="4" spans="1:24" x14ac:dyDescent="0.35">
      <c r="A4" t="s">
        <v>50</v>
      </c>
      <c r="B4" s="1">
        <v>45746</v>
      </c>
      <c r="C4" t="s">
        <v>54</v>
      </c>
      <c r="D4" t="s">
        <v>55</v>
      </c>
      <c r="E4" s="3" t="s">
        <v>56</v>
      </c>
      <c r="F4" s="4" t="s">
        <v>61</v>
      </c>
      <c r="G4" t="s">
        <v>21</v>
      </c>
      <c r="H4" s="1">
        <v>27743</v>
      </c>
      <c r="I4" s="1" t="s">
        <v>69</v>
      </c>
      <c r="K4" t="s">
        <v>22</v>
      </c>
      <c r="L4" s="1">
        <v>44713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 t="s">
        <v>40</v>
      </c>
      <c r="T4">
        <v>1</v>
      </c>
      <c r="U4" s="2">
        <v>12999000</v>
      </c>
      <c r="V4" t="s">
        <v>30</v>
      </c>
      <c r="W4" t="s">
        <v>31</v>
      </c>
    </row>
    <row r="5" spans="1:24" x14ac:dyDescent="0.35">
      <c r="A5" t="s">
        <v>51</v>
      </c>
      <c r="B5" s="1">
        <v>45708</v>
      </c>
      <c r="C5" t="s">
        <v>57</v>
      </c>
      <c r="D5" t="s">
        <v>65</v>
      </c>
      <c r="E5" s="3" t="s">
        <v>58</v>
      </c>
      <c r="F5" s="4" t="s">
        <v>62</v>
      </c>
      <c r="G5" t="s">
        <v>21</v>
      </c>
      <c r="H5" s="1">
        <v>38492</v>
      </c>
      <c r="I5" s="1" t="s">
        <v>71</v>
      </c>
      <c r="J5" t="s">
        <v>64</v>
      </c>
      <c r="K5" t="s">
        <v>41</v>
      </c>
      <c r="L5" s="1">
        <v>43087</v>
      </c>
      <c r="M5" t="s">
        <v>42</v>
      </c>
      <c r="N5" t="s">
        <v>43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>
        <v>1</v>
      </c>
      <c r="U5" s="2">
        <v>315000</v>
      </c>
      <c r="V5" t="s">
        <v>30</v>
      </c>
      <c r="W5" t="s">
        <v>48</v>
      </c>
    </row>
  </sheetData>
  <phoneticPr fontId="2" type="noConversion"/>
  <hyperlinks>
    <hyperlink ref="F2" r:id="rId1" xr:uid="{4AFD587B-7789-439C-8810-8872F7515A39}"/>
    <hyperlink ref="F3" r:id="rId2" xr:uid="{FDB3A5F1-7C43-4263-A15B-C764FD49DE7F}"/>
    <hyperlink ref="F4" r:id="rId3" xr:uid="{E6CE7812-D413-48AD-BB57-BA469738DD13}"/>
    <hyperlink ref="F5" r:id="rId4" xr:uid="{06A2EBF9-DA4A-438C-A49D-F32778FB85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25CC-6A00-4341-B807-91CD883C16AE}">
  <dimension ref="A1:R5"/>
  <sheetViews>
    <sheetView workbookViewId="0">
      <selection activeCell="E1" sqref="E1"/>
    </sheetView>
  </sheetViews>
  <sheetFormatPr defaultRowHeight="14.5" x14ac:dyDescent="0.35"/>
  <cols>
    <col min="1" max="1" width="18.08984375" bestFit="1" customWidth="1"/>
    <col min="2" max="2" width="12.08984375" bestFit="1" customWidth="1"/>
    <col min="3" max="3" width="13.1796875" bestFit="1" customWidth="1"/>
    <col min="4" max="4" width="13.7265625" bestFit="1" customWidth="1"/>
    <col min="5" max="5" width="12.90625" bestFit="1" customWidth="1"/>
    <col min="6" max="6" width="23.54296875" bestFit="1" customWidth="1"/>
    <col min="7" max="7" width="9.54296875" bestFit="1" customWidth="1"/>
    <col min="8" max="8" width="10.08984375" bestFit="1" customWidth="1"/>
    <col min="9" max="9" width="14.90625" bestFit="1" customWidth="1"/>
    <col min="10" max="10" width="14.26953125" bestFit="1" customWidth="1"/>
    <col min="11" max="11" width="11.6328125" bestFit="1" customWidth="1"/>
    <col min="12" max="12" width="8.6328125" bestFit="1" customWidth="1"/>
    <col min="13" max="13" width="18.36328125" bestFit="1" customWidth="1"/>
    <col min="14" max="14" width="10.08984375" bestFit="1" customWidth="1"/>
    <col min="15" max="15" width="27.453125" bestFit="1" customWidth="1"/>
    <col min="16" max="16" width="15" bestFit="1" customWidth="1"/>
    <col min="17" max="17" width="18.36328125" bestFit="1" customWidth="1"/>
    <col min="18" max="18" width="13.54296875" bestFit="1" customWidth="1"/>
  </cols>
  <sheetData>
    <row r="1" spans="1:18" x14ac:dyDescent="0.35">
      <c r="A1" t="s">
        <v>0</v>
      </c>
      <c r="B1" t="s">
        <v>67</v>
      </c>
      <c r="C1" t="s">
        <v>2</v>
      </c>
      <c r="D1" t="s">
        <v>3</v>
      </c>
      <c r="E1" t="s">
        <v>118</v>
      </c>
      <c r="F1" t="s">
        <v>4</v>
      </c>
      <c r="G1" t="s">
        <v>77</v>
      </c>
      <c r="H1" t="s">
        <v>78</v>
      </c>
      <c r="I1" t="s">
        <v>87</v>
      </c>
      <c r="J1" t="s">
        <v>88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</row>
    <row r="2" spans="1:18" x14ac:dyDescent="0.35">
      <c r="A2" t="s">
        <v>49</v>
      </c>
      <c r="B2" s="1">
        <v>45768</v>
      </c>
      <c r="C2" t="s">
        <v>52</v>
      </c>
      <c r="D2" t="s">
        <v>59</v>
      </c>
      <c r="E2" s="3" t="s">
        <v>53</v>
      </c>
      <c r="F2" s="4" t="s">
        <v>60</v>
      </c>
      <c r="G2" t="s">
        <v>72</v>
      </c>
      <c r="H2" t="s">
        <v>59</v>
      </c>
      <c r="I2" s="5">
        <v>111121</v>
      </c>
      <c r="J2" s="2">
        <v>500000</v>
      </c>
      <c r="K2" t="s">
        <v>89</v>
      </c>
      <c r="L2" t="s">
        <v>73</v>
      </c>
      <c r="M2" t="s">
        <v>72</v>
      </c>
      <c r="N2" t="s">
        <v>74</v>
      </c>
      <c r="O2" t="s">
        <v>75</v>
      </c>
      <c r="P2" t="s">
        <v>76</v>
      </c>
      <c r="R2" t="s">
        <v>100</v>
      </c>
    </row>
    <row r="3" spans="1:18" x14ac:dyDescent="0.35">
      <c r="A3" t="s">
        <v>49</v>
      </c>
      <c r="B3" s="1">
        <v>45768</v>
      </c>
      <c r="C3" t="s">
        <v>52</v>
      </c>
      <c r="D3" t="s">
        <v>59</v>
      </c>
      <c r="E3" s="3" t="s">
        <v>53</v>
      </c>
      <c r="F3" s="4" t="s">
        <v>60</v>
      </c>
      <c r="J3" s="2">
        <v>458000</v>
      </c>
      <c r="N3" t="s">
        <v>90</v>
      </c>
      <c r="O3" t="s">
        <v>91</v>
      </c>
      <c r="R3" t="s">
        <v>92</v>
      </c>
    </row>
    <row r="4" spans="1:18" x14ac:dyDescent="0.35">
      <c r="A4" t="s">
        <v>50</v>
      </c>
      <c r="B4" s="1">
        <v>45746</v>
      </c>
      <c r="C4" t="s">
        <v>54</v>
      </c>
      <c r="D4" t="s">
        <v>55</v>
      </c>
      <c r="E4" s="3" t="s">
        <v>56</v>
      </c>
      <c r="F4" s="4" t="s">
        <v>61</v>
      </c>
      <c r="G4" t="s">
        <v>93</v>
      </c>
      <c r="H4" t="s">
        <v>55</v>
      </c>
      <c r="I4" s="5">
        <v>111122</v>
      </c>
      <c r="J4" s="2">
        <v>12999000</v>
      </c>
      <c r="K4" t="s">
        <v>98</v>
      </c>
      <c r="L4" t="s">
        <v>94</v>
      </c>
      <c r="M4" t="s">
        <v>95</v>
      </c>
      <c r="N4" t="s">
        <v>96</v>
      </c>
      <c r="O4" t="s">
        <v>97</v>
      </c>
      <c r="P4" t="s">
        <v>99</v>
      </c>
      <c r="R4" t="s">
        <v>101</v>
      </c>
    </row>
    <row r="5" spans="1:18" x14ac:dyDescent="0.35">
      <c r="A5" t="s">
        <v>51</v>
      </c>
      <c r="B5" s="1">
        <v>45708</v>
      </c>
      <c r="C5" t="s">
        <v>57</v>
      </c>
      <c r="D5" t="s">
        <v>65</v>
      </c>
      <c r="E5" s="3" t="s">
        <v>58</v>
      </c>
      <c r="F5" s="4" t="s">
        <v>62</v>
      </c>
      <c r="G5" t="s">
        <v>102</v>
      </c>
      <c r="H5" t="s">
        <v>65</v>
      </c>
      <c r="I5">
        <v>666611</v>
      </c>
      <c r="J5" s="2">
        <v>315000</v>
      </c>
      <c r="K5" t="s">
        <v>103</v>
      </c>
      <c r="L5" t="s">
        <v>104</v>
      </c>
      <c r="M5" t="s">
        <v>102</v>
      </c>
      <c r="N5" t="s">
        <v>105</v>
      </c>
      <c r="O5" t="s">
        <v>102</v>
      </c>
      <c r="P5" t="s">
        <v>76</v>
      </c>
      <c r="R5" t="s">
        <v>106</v>
      </c>
    </row>
  </sheetData>
  <hyperlinks>
    <hyperlink ref="F2" r:id="rId1" xr:uid="{54D81C04-8189-443A-B88D-A239265D0CA6}"/>
    <hyperlink ref="F3" r:id="rId2" xr:uid="{F9D5718A-53C7-40F7-88AB-104AD83BF187}"/>
    <hyperlink ref="F4" r:id="rId3" xr:uid="{C6C8B3BD-59DF-4FED-B58E-63DF52F42786}"/>
    <hyperlink ref="F5" r:id="rId4" xr:uid="{2A26C446-F2AB-47C8-A4F4-6B697B0D47E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A51A-A1B2-45AB-AF14-42916328927E}">
  <dimension ref="A1:M4"/>
  <sheetViews>
    <sheetView topLeftCell="G1" workbookViewId="0">
      <selection activeCell="E1" sqref="E1"/>
    </sheetView>
  </sheetViews>
  <sheetFormatPr defaultRowHeight="14.5" x14ac:dyDescent="0.35"/>
  <cols>
    <col min="1" max="1" width="18.36328125" bestFit="1" customWidth="1"/>
    <col min="2" max="2" width="9.7265625" bestFit="1" customWidth="1"/>
    <col min="3" max="3" width="14.54296875" bestFit="1" customWidth="1"/>
    <col min="4" max="4" width="13.1796875" bestFit="1" customWidth="1"/>
    <col min="5" max="5" width="12.90625" bestFit="1" customWidth="1"/>
    <col min="6" max="6" width="23.54296875" bestFit="1" customWidth="1"/>
    <col min="7" max="7" width="10.08984375" bestFit="1" customWidth="1"/>
    <col min="8" max="8" width="10.453125" bestFit="1" customWidth="1"/>
    <col min="9" max="9" width="11.1796875" bestFit="1" customWidth="1"/>
    <col min="10" max="10" width="8.6328125" bestFit="1" customWidth="1"/>
    <col min="11" max="11" width="15.7265625" bestFit="1" customWidth="1"/>
    <col min="12" max="12" width="10.7265625" bestFit="1" customWidth="1"/>
    <col min="13" max="13" width="30.1796875" bestFit="1" customWidth="1"/>
  </cols>
  <sheetData>
    <row r="1" spans="1:13" x14ac:dyDescent="0.35">
      <c r="A1" t="s">
        <v>107</v>
      </c>
      <c r="B1" t="s">
        <v>108</v>
      </c>
      <c r="C1" t="s">
        <v>109</v>
      </c>
      <c r="D1" t="s">
        <v>2</v>
      </c>
      <c r="E1" t="s">
        <v>118</v>
      </c>
      <c r="F1" t="s">
        <v>4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</row>
    <row r="2" spans="1:13" x14ac:dyDescent="0.35">
      <c r="A2" t="s">
        <v>49</v>
      </c>
      <c r="B2" t="s">
        <v>117</v>
      </c>
      <c r="C2">
        <v>3001390246</v>
      </c>
      <c r="D2" t="s">
        <v>52</v>
      </c>
      <c r="E2" s="3" t="s">
        <v>53</v>
      </c>
      <c r="F2" s="4" t="s">
        <v>60</v>
      </c>
      <c r="G2" s="1">
        <v>45768</v>
      </c>
      <c r="H2" t="s">
        <v>28</v>
      </c>
      <c r="I2" s="2">
        <v>958000</v>
      </c>
      <c r="J2">
        <v>9</v>
      </c>
      <c r="K2">
        <v>11</v>
      </c>
      <c r="L2" s="1">
        <f>G2+365</f>
        <v>46133</v>
      </c>
    </row>
    <row r="3" spans="1:13" x14ac:dyDescent="0.35">
      <c r="A3" t="s">
        <v>50</v>
      </c>
      <c r="B3" t="s">
        <v>117</v>
      </c>
      <c r="C3">
        <v>3001382908</v>
      </c>
      <c r="D3" t="s">
        <v>54</v>
      </c>
      <c r="E3" s="3" t="s">
        <v>56</v>
      </c>
      <c r="F3" s="4" t="s">
        <v>61</v>
      </c>
      <c r="G3" s="1">
        <v>45746</v>
      </c>
      <c r="H3" t="s">
        <v>39</v>
      </c>
      <c r="I3" s="2">
        <v>12999000</v>
      </c>
      <c r="J3">
        <v>129</v>
      </c>
      <c r="K3">
        <v>11</v>
      </c>
      <c r="L3" s="1">
        <f t="shared" ref="L3:L4" si="0">G3+365</f>
        <v>46111</v>
      </c>
    </row>
    <row r="4" spans="1:13" x14ac:dyDescent="0.35">
      <c r="A4" t="s">
        <v>51</v>
      </c>
      <c r="B4" t="s">
        <v>117</v>
      </c>
      <c r="C4">
        <v>3001387105</v>
      </c>
      <c r="D4" t="s">
        <v>57</v>
      </c>
      <c r="E4" s="3" t="s">
        <v>58</v>
      </c>
      <c r="F4" s="4" t="s">
        <v>62</v>
      </c>
      <c r="G4" s="1">
        <v>45708</v>
      </c>
      <c r="H4" t="s">
        <v>46</v>
      </c>
      <c r="I4" s="2">
        <v>315000</v>
      </c>
      <c r="J4">
        <v>3</v>
      </c>
      <c r="K4">
        <v>11</v>
      </c>
      <c r="L4" s="1">
        <f t="shared" si="0"/>
        <v>46073</v>
      </c>
    </row>
  </sheetData>
  <hyperlinks>
    <hyperlink ref="F2" r:id="rId1" xr:uid="{A71A2019-030A-4A28-AB6A-684D24925763}"/>
    <hyperlink ref="F3" r:id="rId2" xr:uid="{4A75A9D1-501F-4082-90DD-34B1FC815205}"/>
    <hyperlink ref="F4" r:id="rId3" xr:uid="{82108B97-599B-474E-AF5F-8E06AD2EA3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Data_Transaction</vt:lpstr>
      <vt:lpstr>Data_Payment</vt:lpstr>
      <vt:lpstr>Data_Poin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MSF</dc:creator>
  <cp:lastModifiedBy>Marcomm3</cp:lastModifiedBy>
  <dcterms:created xsi:type="dcterms:W3CDTF">2026-07-09T08:57:56Z</dcterms:created>
  <dcterms:modified xsi:type="dcterms:W3CDTF">2026-07-09T09:47:27Z</dcterms:modified>
</cp:coreProperties>
</file>